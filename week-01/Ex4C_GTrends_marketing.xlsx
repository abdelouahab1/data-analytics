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CF3\EXCELCNV\79a123c4-13bf-460d-9266-edfbc3a2bd67\"/>
    </mc:Choice>
  </mc:AlternateContent>
  <xr:revisionPtr revIDLastSave="187" documentId="8_{76DBF4D8-427E-46A7-97C6-F29F39093964}" xr6:coauthVersionLast="47" xr6:coauthVersionMax="47" xr10:uidLastSave="{4458409D-F198-4554-BF15-63F512BF9C1F}"/>
  <bookViews>
    <workbookView xWindow="-60" yWindow="-60" windowWidth="15480" windowHeight="11640" firstSheet="2" activeTab="2" xr2:uid="{7ADF1782-3DA3-465A-BFFB-20EFEA3B80DF}"/>
  </bookViews>
  <sheets>
    <sheet name="by search term" sheetId="1" r:id="rId1"/>
    <sheet name=" 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8"/>
  <pivotCaches>
    <pivotCache cacheId="13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<sst xmlns="http://schemas.openxmlformats.org/spreadsheetml/2006/main" count="154" uniqueCount="67">
  <si>
    <t>RegionID</t>
  </si>
  <si>
    <t>Region</t>
  </si>
  <si>
    <t>Hamburger</t>
  </si>
  <si>
    <t>Milkshake</t>
  </si>
  <si>
    <t>Breakup</t>
  </si>
  <si>
    <t># of regions</t>
  </si>
  <si>
    <t>date range</t>
  </si>
  <si>
    <t>(2/1/24 - 2/28/25)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</si>
  <si>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</si>
  <si>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</si>
  <si>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</si>
  <si>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</si>
  <si>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</si>
  <si>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</si>
  <si>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</si>
  <si>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</si>
  <si>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</si>
  <si>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</si>
  <si>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</si>
  <si>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</si>
  <si>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</si>
  <si>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</si>
  <si>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</si>
  <si>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</si>
  <si>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</si>
  <si>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</si>
  <si>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</si>
  <si>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</si>
  <si>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</si>
  <si>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</si>
  <si>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</si>
  <si>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</si>
  <si>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</si>
  <si>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</si>
  <si>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</si>
  <si>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</si>
  <si>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</si>
  <si>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</si>
  <si>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</si>
  <si>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</si>
  <si>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</si>
  <si>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</si>
  <si>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</si>
  <si>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</si>
  <si>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</si>
  <si>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</si>
  <si>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</si>
  <si>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</si>
  <si>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</si>
  <si>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</si>
  <si>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</si>
  <si>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</si>
  <si>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</si>
  <si>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</si>
  <si>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</si>
  <si>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</si>
  <si>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</si>
  <si>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</si>
  <si>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</si>
  <si>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</si>
  <si>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</si>
  <si>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</si>
  <si>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</si>
  <si>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(All)</t>
  </si>
  <si>
    <t>Sum of Milkshake</t>
  </si>
  <si>
    <t>Sum of Hamburger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</si>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</sst>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3" borderId="0" xfId="0" applyFill="1"/>
    <xf numFmtId="0" fontId="18" fillId="33" borderId="0" xfId="0" applyFont="1" applyFill="1"/>
    <xf numFmtId="0" fontId="18" fillId="34" borderId="0" xfId="0" applyFont="1" applyFill="1"/>
    <xf numFmtId="0" fontId="19" fillId="0" borderId="0" xfId="0" applyFont="1"/>
    <xf numFmtId="0" fontId="18" fillId="0" borderId="0" xfId="0" applyFont="1"/>
    <xf numFmtId="9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7-4983-B8BE-AA305D6E7660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0.68</c:v>
                </c:pt>
                <c:pt idx="1">
                  <c:v>0.65</c:v>
                </c:pt>
                <c:pt idx="2">
                  <c:v>0.68</c:v>
                </c:pt>
                <c:pt idx="3">
                  <c:v>0.74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7-4983-B8BE-AA305D6E7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499143"/>
        <c:axId val="929533959"/>
      </c:barChart>
      <c:catAx>
        <c:axId val="929499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33959"/>
        <c:crosses val="autoZero"/>
        <c:auto val="1"/>
        <c:lblAlgn val="ctr"/>
        <c:lblOffset val="100"/>
        <c:noMultiLvlLbl val="0"/>
      </c:catAx>
      <c:valAx>
        <c:axId val="929533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499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9525</xdr:rowOff>
    </xdr:from>
    <xdr:to>
      <xdr:col>7</xdr:col>
      <xdr:colOff>1009650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FB192-F8BA-7E0B-501B-D702FF5F4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3.471203472225" createdVersion="8" refreshedVersion="8" minRefreshableVersion="3" recordCount="10" xr:uid="{D09E6751-49BC-4BB2-B1CB-C464169A3B27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 count="6">
        <n v="0.68"/>
        <n v="0.69"/>
        <n v="0.74"/>
        <n v="0.76"/>
        <n v="0.66"/>
        <n v="0.65"/>
      </sharedItems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n v="0.18"/>
  </r>
  <r>
    <x v="1"/>
    <x v="0"/>
    <x v="1"/>
    <n v="0.18"/>
  </r>
  <r>
    <x v="2"/>
    <x v="0"/>
    <x v="0"/>
    <n v="0.19"/>
  </r>
  <r>
    <x v="3"/>
    <x v="0"/>
    <x v="2"/>
    <n v="0.14000000000000001"/>
  </r>
  <r>
    <x v="4"/>
    <x v="1"/>
    <x v="1"/>
    <n v="0.19"/>
  </r>
  <r>
    <x v="5"/>
    <x v="1"/>
    <x v="3"/>
    <n v="0.14000000000000001"/>
  </r>
  <r>
    <x v="6"/>
    <x v="1"/>
    <x v="1"/>
    <n v="0.18"/>
  </r>
  <r>
    <x v="7"/>
    <x v="1"/>
    <x v="0"/>
    <n v="0.19"/>
  </r>
  <r>
    <x v="8"/>
    <x v="1"/>
    <x v="4"/>
    <n v="0.19"/>
  </r>
  <r>
    <x v="9"/>
    <x v="1"/>
    <x v="5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962CD-4AF3-4D1A-8293-B73D1CCCFD5B}" name="PivotTable1" cacheId="1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5:C26" firstHeaderRow="0" firstDataRow="1" firstDataCol="1" rowPageCount="1" colPageCount="1"/>
  <pivotFields count="4">
    <pivotField axis="axisRow" compact="0" outline="0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numFmtId="9" outline="0" showAll="0">
      <items count="7">
        <item x="5"/>
        <item x="4"/>
        <item x="0"/>
        <item x="1"/>
        <item x="2"/>
        <item x="3"/>
        <item t="default"/>
      </items>
    </pivotField>
    <pivotField dataField="1" compact="0" numFmtId="9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Milkshake" fld="3" baseField="0" baseItem="0" numFmtId="9"/>
    <dataField name="Sum of Hamburger" fld="2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4431-4DF5-4AC6-978E-EE57582275C4}">
  <dimension ref="A1:K52"/>
  <sheetViews>
    <sheetView topLeftCell="A24" workbookViewId="0">
      <selection activeCell="C1" sqref="C1:C1048576"/>
    </sheetView>
  </sheetViews>
  <sheetFormatPr defaultRowHeight="15"/>
  <cols>
    <col min="1" max="1" width="9.140625" style="1"/>
    <col min="2" max="2" width="18.85546875" style="1" customWidth="1"/>
    <col min="3" max="3" width="16.140625" style="1" customWidth="1"/>
    <col min="4" max="4" width="10.42578125" style="1" customWidth="1"/>
    <col min="5" max="5" width="11.7109375" style="1" customWidth="1"/>
    <col min="7" max="7" width="15.42578125" customWidth="1"/>
    <col min="10" max="10" width="13.85546875" customWidth="1"/>
    <col min="11" max="11" width="16.42578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  <c r="H1" s="3">
        <f>COUNTA(B2:B52)</f>
        <v>51</v>
      </c>
      <c r="J1" s="5" t="s">
        <v>6</v>
      </c>
      <c r="K1" s="5" t="s">
        <v>7</v>
      </c>
    </row>
    <row r="2" spans="1:11">
      <c r="A2" s="1">
        <v>1</v>
      </c>
      <c r="B2" s="1" t="s">
        <v>8</v>
      </c>
      <c r="C2" s="2">
        <v>0.65</v>
      </c>
      <c r="D2" s="2">
        <v>0.23</v>
      </c>
      <c r="E2" s="2">
        <v>0.12</v>
      </c>
    </row>
    <row r="3" spans="1:11">
      <c r="A3" s="1">
        <v>2</v>
      </c>
      <c r="B3" s="1" t="s">
        <v>9</v>
      </c>
      <c r="C3" s="2">
        <v>0.71</v>
      </c>
      <c r="D3" s="2">
        <v>0.15</v>
      </c>
      <c r="E3" s="2">
        <v>0.14000000000000001</v>
      </c>
    </row>
    <row r="4" spans="1:11">
      <c r="A4" s="1">
        <v>3</v>
      </c>
      <c r="B4" s="1" t="s">
        <v>10</v>
      </c>
      <c r="C4" s="2">
        <v>0.66</v>
      </c>
      <c r="D4" s="2">
        <v>0.21</v>
      </c>
      <c r="E4" s="2">
        <v>0.13</v>
      </c>
    </row>
    <row r="5" spans="1:11">
      <c r="A5" s="1">
        <v>4</v>
      </c>
      <c r="B5" s="1" t="s">
        <v>11</v>
      </c>
      <c r="C5" s="2">
        <v>0.68</v>
      </c>
      <c r="D5" s="2">
        <v>0.2</v>
      </c>
      <c r="E5" s="2">
        <v>0.12</v>
      </c>
    </row>
    <row r="6" spans="1:11">
      <c r="A6" s="1">
        <v>5</v>
      </c>
      <c r="B6" s="1" t="s">
        <v>12</v>
      </c>
      <c r="C6" s="2">
        <v>0.64</v>
      </c>
      <c r="D6" s="2">
        <v>0.2</v>
      </c>
      <c r="E6" s="2">
        <v>0.16</v>
      </c>
    </row>
    <row r="7" spans="1:11">
      <c r="A7" s="1">
        <v>6</v>
      </c>
      <c r="B7" s="1" t="s">
        <v>13</v>
      </c>
      <c r="C7" s="2">
        <v>0.68</v>
      </c>
      <c r="D7" s="2">
        <v>0.17</v>
      </c>
      <c r="E7" s="2">
        <v>0.15</v>
      </c>
    </row>
    <row r="8" spans="1:11">
      <c r="A8" s="1">
        <v>7</v>
      </c>
      <c r="B8" s="1" t="s">
        <v>14</v>
      </c>
      <c r="C8" s="2">
        <v>0.64</v>
      </c>
      <c r="D8" s="2">
        <v>0.21</v>
      </c>
      <c r="E8" s="2">
        <v>0.15</v>
      </c>
    </row>
    <row r="9" spans="1:11">
      <c r="A9" s="1">
        <v>8</v>
      </c>
      <c r="B9" s="1" t="s">
        <v>15</v>
      </c>
      <c r="C9" s="2">
        <v>0.6</v>
      </c>
      <c r="D9" s="2">
        <v>0.26</v>
      </c>
      <c r="E9" s="2">
        <v>0.14000000000000001</v>
      </c>
    </row>
    <row r="10" spans="1:11">
      <c r="A10" s="1">
        <v>9</v>
      </c>
      <c r="B10" s="1" t="s">
        <v>16</v>
      </c>
      <c r="C10" s="2">
        <v>0.67</v>
      </c>
      <c r="D10" s="2">
        <v>0.17</v>
      </c>
      <c r="E10" s="2">
        <v>0.16</v>
      </c>
    </row>
    <row r="11" spans="1:11">
      <c r="A11" s="1">
        <v>10</v>
      </c>
      <c r="B11" s="1" t="s">
        <v>17</v>
      </c>
      <c r="C11" s="2">
        <v>0.63</v>
      </c>
      <c r="D11" s="2">
        <v>0.22</v>
      </c>
      <c r="E11" s="2">
        <v>0.15</v>
      </c>
    </row>
    <row r="12" spans="1:11">
      <c r="A12" s="1">
        <v>11</v>
      </c>
      <c r="B12" s="1" t="s">
        <v>18</v>
      </c>
      <c r="C12" s="2">
        <v>0.63</v>
      </c>
      <c r="D12" s="2">
        <v>0.23</v>
      </c>
      <c r="E12" s="2">
        <v>0.14000000000000001</v>
      </c>
    </row>
    <row r="13" spans="1:11">
      <c r="A13" s="1">
        <v>12</v>
      </c>
      <c r="B13" s="1" t="s">
        <v>19</v>
      </c>
      <c r="C13" s="2">
        <v>0.73</v>
      </c>
      <c r="D13" s="2">
        <v>0.14000000000000001</v>
      </c>
      <c r="E13" s="2">
        <v>0.13</v>
      </c>
    </row>
    <row r="14" spans="1:11">
      <c r="A14" s="1">
        <v>13</v>
      </c>
      <c r="B14" s="1" t="s">
        <v>20</v>
      </c>
      <c r="C14" s="2">
        <v>0.68</v>
      </c>
      <c r="D14" s="2">
        <v>0.19</v>
      </c>
      <c r="E14" s="2">
        <v>0.13</v>
      </c>
    </row>
    <row r="15" spans="1:11">
      <c r="A15" s="1">
        <v>14</v>
      </c>
      <c r="B15" s="1" t="s">
        <v>21</v>
      </c>
      <c r="C15" s="2">
        <v>0.62</v>
      </c>
      <c r="D15" s="2">
        <v>0.23</v>
      </c>
      <c r="E15" s="2">
        <v>0.15</v>
      </c>
    </row>
    <row r="16" spans="1:11">
      <c r="A16" s="1">
        <v>15</v>
      </c>
      <c r="B16" s="1" t="s">
        <v>22</v>
      </c>
      <c r="C16" s="2">
        <v>0.65</v>
      </c>
      <c r="D16" s="2">
        <v>0.22</v>
      </c>
      <c r="E16" s="2">
        <v>0.13</v>
      </c>
    </row>
    <row r="17" spans="1:5">
      <c r="A17" s="1">
        <v>16</v>
      </c>
      <c r="B17" s="1" t="s">
        <v>23</v>
      </c>
      <c r="C17" s="2">
        <v>0.69</v>
      </c>
      <c r="D17" s="2">
        <v>0.19</v>
      </c>
      <c r="E17" s="2">
        <v>0.12</v>
      </c>
    </row>
    <row r="18" spans="1:5">
      <c r="A18" s="1">
        <v>17</v>
      </c>
      <c r="B18" s="1" t="s">
        <v>24</v>
      </c>
      <c r="C18" s="2">
        <v>0.65</v>
      </c>
      <c r="D18" s="2">
        <v>0.2</v>
      </c>
      <c r="E18" s="2">
        <v>0.15</v>
      </c>
    </row>
    <row r="19" spans="1:5">
      <c r="A19" s="1">
        <v>18</v>
      </c>
      <c r="B19" s="1" t="s">
        <v>25</v>
      </c>
      <c r="C19" s="2">
        <v>0.64</v>
      </c>
      <c r="D19" s="2">
        <v>0.23</v>
      </c>
      <c r="E19" s="2">
        <v>0.13</v>
      </c>
    </row>
    <row r="20" spans="1:5">
      <c r="A20" s="1">
        <v>19</v>
      </c>
      <c r="B20" s="1" t="s">
        <v>26</v>
      </c>
      <c r="C20" s="2">
        <v>0.67</v>
      </c>
      <c r="D20" s="2">
        <v>0.19</v>
      </c>
      <c r="E20" s="2">
        <v>0.14000000000000001</v>
      </c>
    </row>
    <row r="21" spans="1:5">
      <c r="A21" s="1">
        <v>20</v>
      </c>
      <c r="B21" s="1" t="s">
        <v>27</v>
      </c>
      <c r="C21" s="2">
        <v>0.69</v>
      </c>
      <c r="D21" s="2">
        <v>0.18</v>
      </c>
      <c r="E21" s="2">
        <v>0.13</v>
      </c>
    </row>
    <row r="22" spans="1:5">
      <c r="A22" s="1">
        <v>21</v>
      </c>
      <c r="B22" s="1" t="s">
        <v>28</v>
      </c>
      <c r="C22" s="2">
        <v>0.62</v>
      </c>
      <c r="D22" s="2">
        <v>0.23</v>
      </c>
      <c r="E22" s="2">
        <v>0.15</v>
      </c>
    </row>
    <row r="23" spans="1:5">
      <c r="A23" s="1">
        <v>22</v>
      </c>
      <c r="B23" s="1" t="s">
        <v>29</v>
      </c>
      <c r="C23" s="2">
        <v>0.63</v>
      </c>
      <c r="D23" s="2">
        <v>0.2</v>
      </c>
      <c r="E23" s="2">
        <v>0.17</v>
      </c>
    </row>
    <row r="24" spans="1:5">
      <c r="A24" s="1">
        <v>23</v>
      </c>
      <c r="B24" s="1" t="s">
        <v>30</v>
      </c>
      <c r="C24" s="2">
        <v>0.65</v>
      </c>
      <c r="D24" s="2">
        <v>0.2</v>
      </c>
      <c r="E24" s="2">
        <v>0.15</v>
      </c>
    </row>
    <row r="25" spans="1:5">
      <c r="A25" s="1">
        <v>24</v>
      </c>
      <c r="B25" s="1" t="s">
        <v>31</v>
      </c>
      <c r="C25" s="2">
        <v>0.68</v>
      </c>
      <c r="D25" s="2">
        <v>0.19</v>
      </c>
      <c r="E25" s="2">
        <v>0.13</v>
      </c>
    </row>
    <row r="26" spans="1:5">
      <c r="A26" s="1">
        <v>25</v>
      </c>
      <c r="B26" s="1" t="s">
        <v>32</v>
      </c>
      <c r="C26" s="2">
        <v>0.68</v>
      </c>
      <c r="D26" s="2">
        <v>0.2</v>
      </c>
      <c r="E26" s="2">
        <v>0.12</v>
      </c>
    </row>
    <row r="27" spans="1:5">
      <c r="A27" s="1">
        <v>26</v>
      </c>
      <c r="B27" s="1" t="s">
        <v>33</v>
      </c>
      <c r="C27" s="2">
        <v>0.67</v>
      </c>
      <c r="D27" s="2">
        <v>0.19</v>
      </c>
      <c r="E27" s="2">
        <v>0.14000000000000001</v>
      </c>
    </row>
    <row r="28" spans="1:5">
      <c r="A28" s="1">
        <v>27</v>
      </c>
      <c r="B28" s="1" t="s">
        <v>34</v>
      </c>
      <c r="C28" s="2">
        <v>0.74</v>
      </c>
      <c r="D28" s="2">
        <v>0.14000000000000001</v>
      </c>
      <c r="E28" s="2">
        <v>0.12</v>
      </c>
    </row>
    <row r="29" spans="1:5">
      <c r="A29" s="1">
        <v>28</v>
      </c>
      <c r="B29" s="1" t="s">
        <v>35</v>
      </c>
      <c r="C29" s="2">
        <v>0.69</v>
      </c>
      <c r="D29" s="2">
        <v>0.18</v>
      </c>
      <c r="E29" s="2">
        <v>0.13</v>
      </c>
    </row>
    <row r="30" spans="1:5">
      <c r="A30" s="1">
        <v>29</v>
      </c>
      <c r="B30" s="1" t="s">
        <v>36</v>
      </c>
      <c r="C30" s="2">
        <v>0.68</v>
      </c>
      <c r="D30" s="2">
        <v>0.2</v>
      </c>
      <c r="E30" s="2">
        <v>0.12</v>
      </c>
    </row>
    <row r="31" spans="1:5">
      <c r="A31" s="1">
        <v>30</v>
      </c>
      <c r="B31" s="1" t="s">
        <v>37</v>
      </c>
      <c r="C31" s="2">
        <v>0.67</v>
      </c>
      <c r="D31" s="2">
        <v>0.2</v>
      </c>
      <c r="E31" s="2">
        <v>0.13</v>
      </c>
    </row>
    <row r="32" spans="1:5">
      <c r="A32" s="1">
        <v>31</v>
      </c>
      <c r="B32" s="1" t="s">
        <v>38</v>
      </c>
      <c r="C32" s="2">
        <v>0.62</v>
      </c>
      <c r="D32" s="2">
        <v>0.23</v>
      </c>
      <c r="E32" s="2">
        <v>0.15</v>
      </c>
    </row>
    <row r="33" spans="1:5">
      <c r="A33" s="1">
        <v>32</v>
      </c>
      <c r="B33" s="1" t="s">
        <v>39</v>
      </c>
      <c r="C33" s="2">
        <v>0.67</v>
      </c>
      <c r="D33" s="2">
        <v>0.18</v>
      </c>
      <c r="E33" s="2">
        <v>0.15</v>
      </c>
    </row>
    <row r="34" spans="1:5">
      <c r="A34" s="1">
        <v>33</v>
      </c>
      <c r="B34" s="1" t="s">
        <v>40</v>
      </c>
      <c r="C34" s="2">
        <v>0.64</v>
      </c>
      <c r="D34" s="2">
        <v>0.2</v>
      </c>
      <c r="E34" s="2">
        <v>0.16</v>
      </c>
    </row>
    <row r="35" spans="1:5">
      <c r="A35" s="1">
        <v>34</v>
      </c>
      <c r="B35" s="1" t="s">
        <v>41</v>
      </c>
      <c r="C35" s="2">
        <v>0.64</v>
      </c>
      <c r="D35" s="2">
        <v>0.23</v>
      </c>
      <c r="E35" s="2">
        <v>0.13</v>
      </c>
    </row>
    <row r="36" spans="1:5">
      <c r="A36" s="1">
        <v>35</v>
      </c>
      <c r="B36" s="1" t="s">
        <v>42</v>
      </c>
      <c r="C36" s="2">
        <v>0.69</v>
      </c>
      <c r="D36" s="2">
        <v>0.19</v>
      </c>
      <c r="E36" s="2">
        <v>0.12</v>
      </c>
    </row>
    <row r="37" spans="1:5">
      <c r="A37" s="1">
        <v>36</v>
      </c>
      <c r="B37" s="1" t="s">
        <v>43</v>
      </c>
      <c r="C37" s="2">
        <v>0.63</v>
      </c>
      <c r="D37" s="2">
        <v>0.23</v>
      </c>
      <c r="E37" s="2">
        <v>0.14000000000000001</v>
      </c>
    </row>
    <row r="38" spans="1:5">
      <c r="A38" s="1">
        <v>37</v>
      </c>
      <c r="B38" s="1" t="s">
        <v>44</v>
      </c>
      <c r="C38" s="2">
        <v>0.68</v>
      </c>
      <c r="D38" s="2">
        <v>0.2</v>
      </c>
      <c r="E38" s="2">
        <v>0.12</v>
      </c>
    </row>
    <row r="39" spans="1:5">
      <c r="A39" s="1">
        <v>38</v>
      </c>
      <c r="B39" s="1" t="s">
        <v>45</v>
      </c>
      <c r="C39" s="2">
        <v>0.69</v>
      </c>
      <c r="D39" s="2">
        <v>0.18</v>
      </c>
      <c r="E39" s="2">
        <v>0.13</v>
      </c>
    </row>
    <row r="40" spans="1:5">
      <c r="A40" s="1">
        <v>39</v>
      </c>
      <c r="B40" s="1" t="s">
        <v>46</v>
      </c>
      <c r="C40" s="2">
        <v>0.61</v>
      </c>
      <c r="D40" s="2">
        <v>0.24</v>
      </c>
      <c r="E40" s="2">
        <v>0.15</v>
      </c>
    </row>
    <row r="41" spans="1:5">
      <c r="A41" s="1">
        <v>40</v>
      </c>
      <c r="B41" s="1" t="s">
        <v>47</v>
      </c>
      <c r="C41" s="2">
        <v>0.65</v>
      </c>
      <c r="D41" s="2">
        <v>0.22</v>
      </c>
      <c r="E41" s="2">
        <v>0.13</v>
      </c>
    </row>
    <row r="42" spans="1:5">
      <c r="A42" s="1">
        <v>41</v>
      </c>
      <c r="B42" s="1" t="s">
        <v>48</v>
      </c>
      <c r="C42" s="2">
        <v>0.67</v>
      </c>
      <c r="D42" s="2">
        <v>0.22</v>
      </c>
      <c r="E42" s="2">
        <v>0.11</v>
      </c>
    </row>
    <row r="43" spans="1:5">
      <c r="A43" s="1">
        <v>42</v>
      </c>
      <c r="B43" s="1" t="s">
        <v>49</v>
      </c>
      <c r="C43" s="2">
        <v>0.76</v>
      </c>
      <c r="D43" s="2">
        <v>0.14000000000000001</v>
      </c>
      <c r="E43" s="2">
        <v>0.1</v>
      </c>
    </row>
    <row r="44" spans="1:5">
      <c r="A44" s="1">
        <v>43</v>
      </c>
      <c r="B44" s="1" t="s">
        <v>50</v>
      </c>
      <c r="C44" s="2">
        <v>0.65</v>
      </c>
      <c r="D44" s="2">
        <v>0.22</v>
      </c>
      <c r="E44" s="2">
        <v>0.13</v>
      </c>
    </row>
    <row r="45" spans="1:5">
      <c r="A45" s="1">
        <v>44</v>
      </c>
      <c r="B45" s="1" t="s">
        <v>51</v>
      </c>
      <c r="C45" s="2">
        <v>0.66</v>
      </c>
      <c r="D45" s="2">
        <v>0.2</v>
      </c>
      <c r="E45" s="2">
        <v>0.14000000000000001</v>
      </c>
    </row>
    <row r="46" spans="1:5">
      <c r="A46" s="1">
        <v>45</v>
      </c>
      <c r="B46" s="1" t="s">
        <v>52</v>
      </c>
      <c r="C46" s="2">
        <v>0.67</v>
      </c>
      <c r="D46" s="2">
        <v>0.2</v>
      </c>
      <c r="E46" s="2">
        <v>0.13</v>
      </c>
    </row>
    <row r="47" spans="1:5">
      <c r="A47" s="1">
        <v>46</v>
      </c>
      <c r="B47" s="1" t="s">
        <v>53</v>
      </c>
      <c r="C47" s="2">
        <v>0.69</v>
      </c>
      <c r="D47" s="2">
        <v>0.17</v>
      </c>
      <c r="E47" s="2">
        <v>0.14000000000000001</v>
      </c>
    </row>
    <row r="48" spans="1:5">
      <c r="A48" s="1">
        <v>47</v>
      </c>
      <c r="B48" s="1" t="s">
        <v>54</v>
      </c>
      <c r="C48" s="2">
        <v>0.64</v>
      </c>
      <c r="D48" s="2">
        <v>0.22</v>
      </c>
      <c r="E48" s="2">
        <v>0.14000000000000001</v>
      </c>
    </row>
    <row r="49" spans="1:5">
      <c r="A49" s="1">
        <v>48</v>
      </c>
      <c r="B49" s="1" t="s">
        <v>55</v>
      </c>
      <c r="C49" s="2">
        <v>0.68</v>
      </c>
      <c r="D49" s="2">
        <v>0.18</v>
      </c>
      <c r="E49" s="2">
        <v>0.14000000000000001</v>
      </c>
    </row>
    <row r="50" spans="1:5">
      <c r="A50" s="1">
        <v>49</v>
      </c>
      <c r="B50" s="1" t="s">
        <v>56</v>
      </c>
      <c r="C50" s="2">
        <v>0.62</v>
      </c>
      <c r="D50" s="2">
        <v>0.25</v>
      </c>
      <c r="E50" s="2">
        <v>0.13</v>
      </c>
    </row>
    <row r="51" spans="1:5">
      <c r="A51" s="1">
        <v>50</v>
      </c>
      <c r="B51" s="1" t="s">
        <v>57</v>
      </c>
      <c r="C51" s="2">
        <v>0.66</v>
      </c>
      <c r="D51" s="2">
        <v>0.19</v>
      </c>
      <c r="E51" s="2">
        <v>0.15</v>
      </c>
    </row>
    <row r="52" spans="1:5">
      <c r="A52" s="1">
        <v>51</v>
      </c>
      <c r="B52" s="1" t="s">
        <v>58</v>
      </c>
      <c r="C52" s="2">
        <v>0.71</v>
      </c>
      <c r="D52" s="2">
        <v>0.16</v>
      </c>
      <c r="E52" s="2">
        <v>0.13</v>
      </c>
    </row>
  </sheetData>
  <autoFilter ref="A1:E52" xr:uid="{C0B94431-4DF5-4AC6-978E-EE57582275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926C-8F07-4728-BEA1-464DF50271A6}">
  <dimension ref="A1:AZ4"/>
  <sheetViews>
    <sheetView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s="1" t="s">
        <v>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</row>
    <row r="2" spans="1:52">
      <c r="A2" s="1" t="s">
        <v>2</v>
      </c>
      <c r="B2" s="2">
        <v>0.65</v>
      </c>
      <c r="C2" s="2">
        <v>0.71</v>
      </c>
      <c r="D2" s="2">
        <v>0.66</v>
      </c>
      <c r="E2" s="2">
        <v>0.68</v>
      </c>
      <c r="F2" s="2">
        <v>0.64</v>
      </c>
      <c r="G2" s="2">
        <v>0.68</v>
      </c>
      <c r="H2" s="2">
        <v>0.64</v>
      </c>
      <c r="I2" s="2">
        <v>0.6</v>
      </c>
      <c r="J2" s="2">
        <v>0.67</v>
      </c>
      <c r="K2" s="2">
        <v>0.63</v>
      </c>
      <c r="L2" s="2">
        <v>0.63</v>
      </c>
      <c r="M2" s="2">
        <v>0.73</v>
      </c>
      <c r="N2" s="2">
        <v>0.68</v>
      </c>
      <c r="O2" s="2">
        <v>0.62</v>
      </c>
      <c r="P2" s="2">
        <v>0.65</v>
      </c>
      <c r="Q2" s="2">
        <v>0.69</v>
      </c>
      <c r="R2" s="2">
        <v>0.65</v>
      </c>
      <c r="S2" s="2">
        <v>0.64</v>
      </c>
      <c r="T2" s="2">
        <v>0.67</v>
      </c>
      <c r="U2" s="2">
        <v>0.69</v>
      </c>
      <c r="V2" s="2">
        <v>0.62</v>
      </c>
      <c r="W2" s="2">
        <v>0.63</v>
      </c>
      <c r="X2" s="2">
        <v>0.65</v>
      </c>
      <c r="Y2" s="2">
        <v>0.68</v>
      </c>
      <c r="Z2" s="2">
        <v>0.68</v>
      </c>
      <c r="AA2" s="2">
        <v>0.67</v>
      </c>
      <c r="AB2" s="2">
        <v>0.74</v>
      </c>
      <c r="AC2" s="2">
        <v>0.69</v>
      </c>
      <c r="AD2" s="2">
        <v>0.68</v>
      </c>
      <c r="AE2" s="2">
        <v>0.67</v>
      </c>
      <c r="AF2" s="2">
        <v>0.62</v>
      </c>
      <c r="AG2" s="2">
        <v>0.67</v>
      </c>
      <c r="AH2" s="2">
        <v>0.64</v>
      </c>
      <c r="AI2" s="2">
        <v>0.64</v>
      </c>
      <c r="AJ2" s="2">
        <v>0.69</v>
      </c>
      <c r="AK2" s="2">
        <v>0.63</v>
      </c>
      <c r="AL2" s="2">
        <v>0.68</v>
      </c>
      <c r="AM2" s="2">
        <v>0.69</v>
      </c>
      <c r="AN2" s="2">
        <v>0.61</v>
      </c>
      <c r="AO2" s="2">
        <v>0.65</v>
      </c>
      <c r="AP2" s="2">
        <v>0.67</v>
      </c>
      <c r="AQ2" s="2">
        <v>0.76</v>
      </c>
      <c r="AR2" s="2">
        <v>0.65</v>
      </c>
      <c r="AS2" s="2">
        <v>0.66</v>
      </c>
      <c r="AT2" s="2">
        <v>0.67</v>
      </c>
      <c r="AU2" s="2">
        <v>0.69</v>
      </c>
      <c r="AV2" s="2">
        <v>0.64</v>
      </c>
      <c r="AW2" s="2">
        <v>0.68</v>
      </c>
      <c r="AX2" s="2">
        <v>0.62</v>
      </c>
      <c r="AY2" s="2">
        <v>0.66</v>
      </c>
      <c r="AZ2" s="2">
        <v>0.71</v>
      </c>
    </row>
    <row r="3" spans="1:52">
      <c r="A3" s="1" t="s">
        <v>3</v>
      </c>
      <c r="B3" s="2">
        <v>0.23</v>
      </c>
      <c r="C3" s="2">
        <v>0.15</v>
      </c>
      <c r="D3" s="2">
        <v>0.21</v>
      </c>
      <c r="E3" s="2">
        <v>0.2</v>
      </c>
      <c r="F3" s="2">
        <v>0.2</v>
      </c>
      <c r="G3" s="2">
        <v>0.17</v>
      </c>
      <c r="H3" s="2">
        <v>0.21</v>
      </c>
      <c r="I3" s="2">
        <v>0.26</v>
      </c>
      <c r="J3" s="2">
        <v>0.17</v>
      </c>
      <c r="K3" s="2">
        <v>0.22</v>
      </c>
      <c r="L3" s="2">
        <v>0.23</v>
      </c>
      <c r="M3" s="2">
        <v>0.14000000000000001</v>
      </c>
      <c r="N3" s="2">
        <v>0.19</v>
      </c>
      <c r="O3" s="2">
        <v>0.23</v>
      </c>
      <c r="P3" s="2">
        <v>0.22</v>
      </c>
      <c r="Q3" s="2">
        <v>0.19</v>
      </c>
      <c r="R3" s="2">
        <v>0.2</v>
      </c>
      <c r="S3" s="2">
        <v>0.23</v>
      </c>
      <c r="T3" s="2">
        <v>0.19</v>
      </c>
      <c r="U3" s="2">
        <v>0.18</v>
      </c>
      <c r="V3" s="2">
        <v>0.23</v>
      </c>
      <c r="W3" s="2">
        <v>0.2</v>
      </c>
      <c r="X3" s="2">
        <v>0.2</v>
      </c>
      <c r="Y3" s="2">
        <v>0.19</v>
      </c>
      <c r="Z3" s="2">
        <v>0.2</v>
      </c>
      <c r="AA3" s="2">
        <v>0.19</v>
      </c>
      <c r="AB3" s="2">
        <v>0.14000000000000001</v>
      </c>
      <c r="AC3" s="2">
        <v>0.18</v>
      </c>
      <c r="AD3" s="2">
        <v>0.2</v>
      </c>
      <c r="AE3" s="2">
        <v>0.2</v>
      </c>
      <c r="AF3" s="2">
        <v>0.23</v>
      </c>
      <c r="AG3" s="2">
        <v>0.18</v>
      </c>
      <c r="AH3" s="2">
        <v>0.2</v>
      </c>
      <c r="AI3" s="2">
        <v>0.23</v>
      </c>
      <c r="AJ3" s="2">
        <v>0.19</v>
      </c>
      <c r="AK3" s="2">
        <v>0.23</v>
      </c>
      <c r="AL3" s="2">
        <v>0.2</v>
      </c>
      <c r="AM3" s="2">
        <v>0.18</v>
      </c>
      <c r="AN3" s="2">
        <v>0.24</v>
      </c>
      <c r="AO3" s="2">
        <v>0.22</v>
      </c>
      <c r="AP3" s="2">
        <v>0.22</v>
      </c>
      <c r="AQ3" s="2">
        <v>0.14000000000000001</v>
      </c>
      <c r="AR3" s="2">
        <v>0.22</v>
      </c>
      <c r="AS3" s="2">
        <v>0.2</v>
      </c>
      <c r="AT3" s="2">
        <v>0.2</v>
      </c>
      <c r="AU3" s="2">
        <v>0.17</v>
      </c>
      <c r="AV3" s="2">
        <v>0.22</v>
      </c>
      <c r="AW3" s="2">
        <v>0.18</v>
      </c>
      <c r="AX3" s="2">
        <v>0.25</v>
      </c>
      <c r="AY3" s="2">
        <v>0.19</v>
      </c>
      <c r="AZ3" s="2">
        <v>0.16</v>
      </c>
    </row>
    <row r="4" spans="1:52">
      <c r="A4" s="1" t="s">
        <v>4</v>
      </c>
      <c r="B4" s="2">
        <v>0.12</v>
      </c>
      <c r="C4" s="2">
        <v>0.14000000000000001</v>
      </c>
      <c r="D4" s="2">
        <v>0.13</v>
      </c>
      <c r="E4" s="2">
        <v>0.12</v>
      </c>
      <c r="F4" s="2">
        <v>0.16</v>
      </c>
      <c r="G4" s="2">
        <v>0.15</v>
      </c>
      <c r="H4" s="2">
        <v>0.15</v>
      </c>
      <c r="I4" s="2">
        <v>0.14000000000000001</v>
      </c>
      <c r="J4" s="2">
        <v>0.16</v>
      </c>
      <c r="K4" s="2">
        <v>0.15</v>
      </c>
      <c r="L4" s="2">
        <v>0.14000000000000001</v>
      </c>
      <c r="M4" s="2">
        <v>0.13</v>
      </c>
      <c r="N4" s="2">
        <v>0.13</v>
      </c>
      <c r="O4" s="2">
        <v>0.15</v>
      </c>
      <c r="P4" s="2">
        <v>0.13</v>
      </c>
      <c r="Q4" s="2">
        <v>0.12</v>
      </c>
      <c r="R4" s="2">
        <v>0.15</v>
      </c>
      <c r="S4" s="2">
        <v>0.13</v>
      </c>
      <c r="T4" s="2">
        <v>0.14000000000000001</v>
      </c>
      <c r="U4" s="2">
        <v>0.13</v>
      </c>
      <c r="V4" s="2">
        <v>0.15</v>
      </c>
      <c r="W4" s="2">
        <v>0.17</v>
      </c>
      <c r="X4" s="2">
        <v>0.15</v>
      </c>
      <c r="Y4" s="2">
        <v>0.13</v>
      </c>
      <c r="Z4" s="2">
        <v>0.12</v>
      </c>
      <c r="AA4" s="2">
        <v>0.14000000000000001</v>
      </c>
      <c r="AB4" s="2">
        <v>0.12</v>
      </c>
      <c r="AC4" s="2">
        <v>0.13</v>
      </c>
      <c r="AD4" s="2">
        <v>0.12</v>
      </c>
      <c r="AE4" s="2">
        <v>0.13</v>
      </c>
      <c r="AF4" s="2">
        <v>0.15</v>
      </c>
      <c r="AG4" s="2">
        <v>0.15</v>
      </c>
      <c r="AH4" s="2">
        <v>0.16</v>
      </c>
      <c r="AI4" s="2">
        <v>0.13</v>
      </c>
      <c r="AJ4" s="2">
        <v>0.12</v>
      </c>
      <c r="AK4" s="2">
        <v>0.14000000000000001</v>
      </c>
      <c r="AL4" s="2">
        <v>0.12</v>
      </c>
      <c r="AM4" s="2">
        <v>0.13</v>
      </c>
      <c r="AN4" s="2">
        <v>0.15</v>
      </c>
      <c r="AO4" s="2">
        <v>0.13</v>
      </c>
      <c r="AP4" s="2">
        <v>0.11</v>
      </c>
      <c r="AQ4" s="2">
        <v>0.1</v>
      </c>
      <c r="AR4" s="2">
        <v>0.13</v>
      </c>
      <c r="AS4" s="2">
        <v>0.14000000000000001</v>
      </c>
      <c r="AT4" s="2">
        <v>0.13</v>
      </c>
      <c r="AU4" s="2">
        <v>0.14000000000000001</v>
      </c>
      <c r="AV4" s="2">
        <v>0.14000000000000001</v>
      </c>
      <c r="AW4" s="2">
        <v>0.14000000000000001</v>
      </c>
      <c r="AX4" s="2">
        <v>0.13</v>
      </c>
      <c r="AY4" s="2">
        <v>0.15</v>
      </c>
      <c r="AZ4" s="2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0B72-CEEE-4167-82FC-1E5C9B25622C}">
  <dimension ref="A1:D32"/>
  <sheetViews>
    <sheetView tabSelected="1" workbookViewId="0">
      <selection activeCell="A15" sqref="A15:C26"/>
    </sheetView>
  </sheetViews>
  <sheetFormatPr defaultRowHeight="15"/>
  <cols>
    <col min="1" max="1" width="12.85546875" customWidth="1"/>
    <col min="2" max="2" width="17.140625" customWidth="1"/>
    <col min="3" max="3" width="18.140625" style="8" customWidth="1"/>
    <col min="4" max="4" width="17.140625" style="8" customWidth="1"/>
    <col min="5" max="5" width="18.140625" bestFit="1" customWidth="1"/>
    <col min="6" max="6" width="17.140625" customWidth="1"/>
    <col min="7" max="7" width="18.140625" bestFit="1" customWidth="1"/>
    <col min="8" max="8" width="17.140625" bestFit="1" customWidth="1"/>
    <col min="9" max="9" width="18.140625" bestFit="1" customWidth="1"/>
    <col min="10" max="10" width="17.140625" bestFit="1" customWidth="1"/>
    <col min="11" max="11" width="18.140625" bestFit="1" customWidth="1"/>
    <col min="12" max="12" width="17.140625" bestFit="1" customWidth="1"/>
    <col min="13" max="13" width="18.140625" bestFit="1" customWidth="1"/>
    <col min="14" max="14" width="22.42578125" bestFit="1" customWidth="1"/>
    <col min="15" max="15" width="23.42578125" bestFit="1" customWidth="1"/>
  </cols>
  <sheetData>
    <row r="1" spans="1:4">
      <c r="A1" t="s">
        <v>59</v>
      </c>
      <c r="B1" s="6" t="s">
        <v>60</v>
      </c>
      <c r="C1" s="8" t="s">
        <v>2</v>
      </c>
      <c r="D1" s="8" t="s">
        <v>3</v>
      </c>
    </row>
    <row r="2" spans="1:4">
      <c r="A2" t="s">
        <v>55</v>
      </c>
      <c r="B2" t="s">
        <v>61</v>
      </c>
      <c r="C2" s="8">
        <f>VLOOKUP('sales region lookup'!A2, 'by search term'!B:C, 2, FALSE)</f>
        <v>0.68</v>
      </c>
      <c r="D2" s="8">
        <f>_xlfn.XLOOKUP(A2, 'by search term'!B1:B52, 'by search term'!D1:D52, "not found")</f>
        <v>0.18</v>
      </c>
    </row>
    <row r="3" spans="1:4">
      <c r="A3" s="6" t="s">
        <v>45</v>
      </c>
      <c r="B3" t="s">
        <v>61</v>
      </c>
      <c r="C3" s="8">
        <f>VLOOKUP('sales region lookup'!A3, 'by search term'!B:C, 2, FALSE)</f>
        <v>0.69</v>
      </c>
      <c r="D3" s="8">
        <f>_xlfn.XLOOKUP(A3, 'by search term'!B2:B53, 'by search term'!D2:D53, "not found")</f>
        <v>0.18</v>
      </c>
    </row>
    <row r="4" spans="1:4">
      <c r="A4" t="s">
        <v>20</v>
      </c>
      <c r="B4" t="s">
        <v>61</v>
      </c>
      <c r="C4" s="8">
        <f>VLOOKUP('sales region lookup'!A4, 'by search term'!B:C, 2, FALSE)</f>
        <v>0.68</v>
      </c>
      <c r="D4" s="8">
        <f>_xlfn.XLOOKUP(A4, 'by search term'!B3:B54, 'by search term'!D3:D54, "not found")</f>
        <v>0.19</v>
      </c>
    </row>
    <row r="5" spans="1:4">
      <c r="A5" t="s">
        <v>34</v>
      </c>
      <c r="B5" t="s">
        <v>61</v>
      </c>
      <c r="C5" s="8">
        <f>VLOOKUP('sales region lookup'!A5, 'by search term'!B:C, 2, FALSE)</f>
        <v>0.74</v>
      </c>
      <c r="D5" s="8">
        <f>_xlfn.XLOOKUP(A5, 'by search term'!B4:B55, 'by search term'!D4:D55, "not found")</f>
        <v>0.14000000000000001</v>
      </c>
    </row>
    <row r="6" spans="1:4">
      <c r="A6" s="7" t="s">
        <v>42</v>
      </c>
      <c r="B6" t="s">
        <v>62</v>
      </c>
      <c r="C6" s="8">
        <f>VLOOKUP('sales region lookup'!A6, 'by search term'!B:C, 2, FALSE)</f>
        <v>0.69</v>
      </c>
      <c r="D6" s="8">
        <f>_xlfn.XLOOKUP(A6, 'by search term'!B5:B56, 'by search term'!D5:D56, "not found")</f>
        <v>0.19</v>
      </c>
    </row>
    <row r="7" spans="1:4">
      <c r="A7" t="s">
        <v>49</v>
      </c>
      <c r="B7" t="s">
        <v>62</v>
      </c>
      <c r="C7" s="8">
        <f>VLOOKUP('sales region lookup'!A7, 'by search term'!B:C, 2, FALSE)</f>
        <v>0.76</v>
      </c>
      <c r="D7" s="8">
        <f>_xlfn.XLOOKUP(A7, 'by search term'!B6:B57, 'by search term'!D6:D57, "not found")</f>
        <v>0.14000000000000001</v>
      </c>
    </row>
    <row r="8" spans="1:4">
      <c r="A8" t="s">
        <v>35</v>
      </c>
      <c r="B8" t="s">
        <v>62</v>
      </c>
      <c r="C8" s="8">
        <f>VLOOKUP('sales region lookup'!A8, 'by search term'!B:C, 2, FALSE)</f>
        <v>0.69</v>
      </c>
      <c r="D8" s="8">
        <f>_xlfn.XLOOKUP(A8, 'by search term'!B7:B58, 'by search term'!D7:D58, "not found")</f>
        <v>0.18</v>
      </c>
    </row>
    <row r="9" spans="1:4">
      <c r="A9" t="s">
        <v>31</v>
      </c>
      <c r="B9" t="s">
        <v>62</v>
      </c>
      <c r="C9" s="8">
        <f>VLOOKUP('sales region lookup'!A9, 'by search term'!B:C, 2, FALSE)</f>
        <v>0.68</v>
      </c>
      <c r="D9" s="8">
        <f>_xlfn.XLOOKUP(A9, 'by search term'!B8:B59, 'by search term'!D8:D59, "not found")</f>
        <v>0.19</v>
      </c>
    </row>
    <row r="10" spans="1:4">
      <c r="A10" t="s">
        <v>57</v>
      </c>
      <c r="B10" t="s">
        <v>62</v>
      </c>
      <c r="C10" s="8">
        <f>VLOOKUP('sales region lookup'!A10, 'by search term'!B:C, 2, FALSE)</f>
        <v>0.66</v>
      </c>
      <c r="D10" s="8">
        <f>_xlfn.XLOOKUP(A10, 'by search term'!B9:B60, 'by search term'!D9:D60, "not found")</f>
        <v>0.19</v>
      </c>
    </row>
    <row r="11" spans="1:4">
      <c r="A11" t="s">
        <v>30</v>
      </c>
      <c r="B11" t="s">
        <v>62</v>
      </c>
      <c r="C11" s="8">
        <f>VLOOKUP('sales region lookup'!A11, 'by search term'!B:C, 2, FALSE)</f>
        <v>0.65</v>
      </c>
      <c r="D11" s="8">
        <f>_xlfn.XLOOKUP(A11, 'by search term'!B10:B61, 'by search term'!D10:D61, "not found")</f>
        <v>0.2</v>
      </c>
    </row>
    <row r="13" spans="1:4">
      <c r="A13" s="9" t="s">
        <v>60</v>
      </c>
      <c r="B13" t="s">
        <v>63</v>
      </c>
    </row>
    <row r="15" spans="1:4">
      <c r="A15" s="9" t="s">
        <v>59</v>
      </c>
      <c r="B15" t="s">
        <v>64</v>
      </c>
      <c r="C15" t="s">
        <v>65</v>
      </c>
      <c r="D15"/>
    </row>
    <row r="16" spans="1:4">
      <c r="A16" t="s">
        <v>20</v>
      </c>
      <c r="B16" s="8">
        <v>0.19</v>
      </c>
      <c r="C16" s="8">
        <v>0.68</v>
      </c>
      <c r="D16"/>
    </row>
    <row r="17" spans="1:4">
      <c r="A17" t="s">
        <v>30</v>
      </c>
      <c r="B17" s="8">
        <v>0.2</v>
      </c>
      <c r="C17" s="8">
        <v>0.65</v>
      </c>
      <c r="D17"/>
    </row>
    <row r="18" spans="1:4">
      <c r="A18" t="s">
        <v>31</v>
      </c>
      <c r="B18" s="8">
        <v>0.19</v>
      </c>
      <c r="C18" s="8">
        <v>0.68</v>
      </c>
      <c r="D18"/>
    </row>
    <row r="19" spans="1:4">
      <c r="A19" t="s">
        <v>34</v>
      </c>
      <c r="B19" s="8">
        <v>0.14000000000000001</v>
      </c>
      <c r="C19" s="8">
        <v>0.74</v>
      </c>
      <c r="D19"/>
    </row>
    <row r="20" spans="1:4">
      <c r="A20" t="s">
        <v>35</v>
      </c>
      <c r="B20" s="8">
        <v>0.18</v>
      </c>
      <c r="C20" s="8">
        <v>0.69</v>
      </c>
      <c r="D20"/>
    </row>
    <row r="21" spans="1:4">
      <c r="A21" t="s">
        <v>42</v>
      </c>
      <c r="B21" s="8">
        <v>0.19</v>
      </c>
      <c r="C21" s="8">
        <v>0.69</v>
      </c>
      <c r="D21"/>
    </row>
    <row r="22" spans="1:4">
      <c r="A22" t="s">
        <v>45</v>
      </c>
      <c r="B22" s="8">
        <v>0.18</v>
      </c>
      <c r="C22" s="8">
        <v>0.69</v>
      </c>
      <c r="D22"/>
    </row>
    <row r="23" spans="1:4">
      <c r="A23" t="s">
        <v>49</v>
      </c>
      <c r="B23" s="8">
        <v>0.14000000000000001</v>
      </c>
      <c r="C23" s="8">
        <v>0.76</v>
      </c>
      <c r="D23"/>
    </row>
    <row r="24" spans="1:4">
      <c r="A24" t="s">
        <v>55</v>
      </c>
      <c r="B24" s="8">
        <v>0.18</v>
      </c>
      <c r="C24" s="8">
        <v>0.68</v>
      </c>
      <c r="D24"/>
    </row>
    <row r="25" spans="1:4">
      <c r="A25" t="s">
        <v>57</v>
      </c>
      <c r="B25" s="8">
        <v>0.19</v>
      </c>
      <c r="C25" s="8">
        <v>0.66</v>
      </c>
      <c r="D25"/>
    </row>
    <row r="26" spans="1:4">
      <c r="A26" t="s">
        <v>66</v>
      </c>
      <c r="B26" s="8">
        <v>1.78</v>
      </c>
      <c r="C26" s="8">
        <v>6.92</v>
      </c>
      <c r="D26"/>
    </row>
    <row r="27" spans="1:4">
      <c r="C27"/>
      <c r="D27"/>
    </row>
    <row r="28" spans="1:4">
      <c r="C28"/>
      <c r="D28"/>
    </row>
    <row r="29" spans="1:4">
      <c r="C29"/>
    </row>
    <row r="30" spans="1:4">
      <c r="C30"/>
    </row>
    <row r="31" spans="1:4">
      <c r="C31"/>
    </row>
    <row r="32" spans="1:4">
      <c r="C3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abdelouahab bendanoune</cp:lastModifiedBy>
  <cp:revision/>
  <dcterms:created xsi:type="dcterms:W3CDTF">2026-10-15T05:31:49Z</dcterms:created>
  <dcterms:modified xsi:type="dcterms:W3CDTF">2026-10-18T18:23:23Z</dcterms:modified>
  <cp:category/>
  <cp:contentStatus/>
</cp:coreProperties>
</file>